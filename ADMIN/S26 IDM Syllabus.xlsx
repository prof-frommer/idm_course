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11" documentId="13_ncr:1_{8440DFE0-1E29-44D7-A33D-E6D4DA2B4B1B}" xr6:coauthVersionLast="47" xr6:coauthVersionMax="47" xr10:uidLastSave="{A72509A4-DAD5-42E2-BAB3-FA3F68D2E7CF}"/>
  <bookViews>
    <workbookView xWindow="28680" yWindow="-150" windowWidth="29040" windowHeight="15720" xr2:uid="{00000000-000D-0000-FFFF-FFFF00000000}"/>
  </bookViews>
  <sheets>
    <sheet name="Sheet1" sheetId="1" r:id="rId1"/>
  </sheets>
  <definedNames>
    <definedName name="_xlnm.Print_Area" localSheetId="0">Sheet1!$A$1:$L$17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F2" i="1"/>
  <c r="B3" i="1"/>
  <c r="F3" i="1" s="1"/>
  <c r="B4" i="1" l="1"/>
  <c r="B5" i="1" l="1"/>
  <c r="F4" i="1"/>
  <c r="B6" i="1" l="1"/>
  <c r="F5" i="1"/>
  <c r="B7" i="1" l="1"/>
  <c r="F6" i="1"/>
  <c r="B8" i="1" l="1"/>
  <c r="F7" i="1"/>
  <c r="F8" i="1" l="1"/>
  <c r="B11" i="1" l="1"/>
  <c r="F10" i="1"/>
  <c r="F11" i="1" l="1"/>
  <c r="B12" i="1"/>
  <c r="B13" i="1" l="1"/>
  <c r="F12" i="1"/>
  <c r="B14" i="1" l="1"/>
  <c r="F13" i="1"/>
  <c r="B15" i="1" l="1"/>
  <c r="F14" i="1"/>
  <c r="B16" i="1" l="1"/>
  <c r="F15" i="1"/>
  <c r="B17" i="1" l="1"/>
  <c r="F16" i="1"/>
</calcChain>
</file>

<file path=xl/sharedStrings.xml><?xml version="1.0" encoding="utf-8"?>
<sst xmlns="http://schemas.openxmlformats.org/spreadsheetml/2006/main" count="65" uniqueCount="39">
  <si>
    <t>Tu</t>
  </si>
  <si>
    <t>Th</t>
  </si>
  <si>
    <t>Week</t>
  </si>
  <si>
    <t>Goal Programming</t>
  </si>
  <si>
    <t>Constraint Programming</t>
  </si>
  <si>
    <t>Steiner Trees</t>
  </si>
  <si>
    <t>Social Networks</t>
  </si>
  <si>
    <t>Nonlinear Optimization</t>
  </si>
  <si>
    <t>Date</t>
  </si>
  <si>
    <t>Spring Break</t>
  </si>
  <si>
    <t>Goal Programming; Exam Review</t>
  </si>
  <si>
    <t>Network Optimization</t>
  </si>
  <si>
    <t>Introduction; PuLP</t>
  </si>
  <si>
    <t>Python for PuLP</t>
  </si>
  <si>
    <t>PuLP</t>
  </si>
  <si>
    <t>Transshipment Problem</t>
  </si>
  <si>
    <t>Bin Packing Problem</t>
  </si>
  <si>
    <t>PuLP and Amply</t>
  </si>
  <si>
    <t>Sports Scheduling Problem</t>
  </si>
  <si>
    <t>Earth Mover Distance;
Last Day of Classes</t>
  </si>
  <si>
    <r>
      <t xml:space="preserve">The </t>
    </r>
    <r>
      <rPr>
        <b/>
        <sz val="14"/>
        <color theme="1"/>
        <rFont val="Calibri"/>
        <family val="2"/>
        <scheme val="minor"/>
      </rPr>
      <t xml:space="preserve">final exam </t>
    </r>
    <r>
      <rPr>
        <sz val="14"/>
        <color theme="1"/>
        <rFont val="Calibri"/>
        <family val="2"/>
        <scheme val="minor"/>
      </rPr>
      <t>will be scheduled during finals week.</t>
    </r>
  </si>
  <si>
    <t>Assigned</t>
  </si>
  <si>
    <t>Due</t>
  </si>
  <si>
    <t>HW 1</t>
  </si>
  <si>
    <t>HW 2</t>
  </si>
  <si>
    <t>HW 3</t>
  </si>
  <si>
    <t>HW 4</t>
  </si>
  <si>
    <t>HW 5</t>
  </si>
  <si>
    <t>HW 6</t>
  </si>
  <si>
    <t>HW 8</t>
  </si>
  <si>
    <t>HW 9</t>
  </si>
  <si>
    <t>HW 10</t>
  </si>
  <si>
    <t>HW 11</t>
  </si>
  <si>
    <t>HW 12</t>
  </si>
  <si>
    <t>HW 7</t>
  </si>
  <si>
    <t>Monday Schedule - No Class</t>
  </si>
  <si>
    <t>Stable Marriage Problem</t>
  </si>
  <si>
    <r>
      <rPr>
        <i/>
        <sz val="14"/>
        <color theme="1"/>
        <rFont val="Calibri"/>
        <family val="2"/>
        <scheme val="minor"/>
      </rPr>
      <t>WED 4-MAR is a TH schedule</t>
    </r>
    <r>
      <rPr>
        <b/>
        <sz val="14"/>
        <color theme="1"/>
        <rFont val="Calibri"/>
        <family val="2"/>
        <scheme val="minor"/>
      </rPr>
      <t xml:space="preserve">
Midterm Exam, Part II</t>
    </r>
  </si>
  <si>
    <r>
      <rPr>
        <i/>
        <sz val="14"/>
        <color theme="1"/>
        <rFont val="Calibri"/>
        <family val="2"/>
        <scheme val="minor"/>
      </rPr>
      <t xml:space="preserve">MON 2-MAR is a TU schedule
</t>
    </r>
    <r>
      <rPr>
        <b/>
        <sz val="14"/>
        <color theme="1"/>
        <rFont val="Calibri"/>
        <family val="2"/>
        <scheme val="minor"/>
      </rPr>
      <t>Midterm Exam, Part 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</si>
</sst>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7" fillId="0" borderId="3" xfId="0" applyFont="1" applyBorder="1"/>
    <xf numFmtId="0" fontId="7" fillId="0" borderId="0" xfId="0" applyFont="1" applyAlignment="1">
      <alignment wrapText="1"/>
    </xf>
    <xf numFmtId="0" fontId="8" fillId="0" borderId="0" xfId="0" applyFont="1"/>
    <xf numFmtId="164" fontId="6" fillId="0" borderId="4" xfId="0" applyNumberFormat="1" applyFont="1" applyBorder="1"/>
    <xf numFmtId="164" fontId="6" fillId="0" borderId="1" xfId="0" applyNumberFormat="1" applyFont="1" applyBorder="1"/>
    <xf numFmtId="0" fontId="9" fillId="0" borderId="0" xfId="0" applyFont="1"/>
    <xf numFmtId="0" fontId="6" fillId="0" borderId="0" xfId="0" applyFont="1" applyAlignment="1">
      <alignment wrapText="1"/>
    </xf>
    <xf numFmtId="164" fontId="7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4" fontId="6" fillId="2" borderId="0" xfId="0" applyNumberFormat="1" applyFont="1" applyFill="1"/>
    <xf numFmtId="0" fontId="6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tabSelected="1" view="pageLayout" topLeftCell="A4" zoomScaleNormal="100" zoomScaleSheetLayoutView="55" workbookViewId="0">
      <selection activeCell="C10" sqref="C10"/>
    </sheetView>
  </sheetViews>
  <sheetFormatPr defaultColWidth="4.85546875" defaultRowHeight="15" x14ac:dyDescent="0.25"/>
  <cols>
    <col min="1" max="1" width="9.28515625" style="1" bestFit="1" customWidth="1"/>
    <col min="2" max="2" width="11.85546875" style="1" bestFit="1" customWidth="1"/>
    <col min="3" max="3" width="33.7109375" customWidth="1"/>
    <col min="4" max="4" width="9.5703125" customWidth="1"/>
    <col min="5" max="5" width="11.42578125" customWidth="1"/>
    <col min="6" max="6" width="13.28515625" style="1" customWidth="1"/>
    <col min="7" max="7" width="37.28515625" customWidth="1"/>
    <col min="8" max="9" width="7.7109375" customWidth="1"/>
  </cols>
  <sheetData>
    <row r="1" spans="1:9" s="5" customFormat="1" ht="30" customHeight="1" thickBot="1" x14ac:dyDescent="0.35">
      <c r="A1" s="7" t="s">
        <v>2</v>
      </c>
      <c r="B1" s="7" t="s">
        <v>8</v>
      </c>
      <c r="C1" s="7" t="s">
        <v>0</v>
      </c>
      <c r="D1" s="7" t="s">
        <v>22</v>
      </c>
      <c r="E1" s="7" t="s">
        <v>21</v>
      </c>
      <c r="F1" s="7" t="s">
        <v>8</v>
      </c>
      <c r="G1" s="7" t="s">
        <v>1</v>
      </c>
      <c r="H1" s="7" t="s">
        <v>22</v>
      </c>
      <c r="I1" s="7" t="s">
        <v>21</v>
      </c>
    </row>
    <row r="2" spans="1:9" ht="42" customHeight="1" x14ac:dyDescent="0.3">
      <c r="A2" s="8">
        <v>1</v>
      </c>
      <c r="B2" s="9">
        <v>46035</v>
      </c>
      <c r="C2" s="10" t="s">
        <v>12</v>
      </c>
      <c r="D2" s="10"/>
      <c r="E2" s="11" t="s">
        <v>23</v>
      </c>
      <c r="F2" s="14">
        <f>B2+2</f>
        <v>46037</v>
      </c>
      <c r="G2" s="10" t="s">
        <v>13</v>
      </c>
      <c r="H2" s="10"/>
    </row>
    <row r="3" spans="1:9" ht="42" customHeight="1" x14ac:dyDescent="0.3">
      <c r="A3" s="8">
        <v>2</v>
      </c>
      <c r="B3" s="9">
        <f>B2+7</f>
        <v>46042</v>
      </c>
      <c r="C3" s="12" t="s">
        <v>14</v>
      </c>
      <c r="D3" s="12" t="s">
        <v>23</v>
      </c>
      <c r="E3" s="10" t="s">
        <v>24</v>
      </c>
      <c r="F3" s="15">
        <f t="shared" ref="F3:F16" si="0">B3+2</f>
        <v>46044</v>
      </c>
      <c r="G3" s="10" t="s">
        <v>17</v>
      </c>
      <c r="H3" s="10"/>
    </row>
    <row r="4" spans="1:9" ht="42" customHeight="1" x14ac:dyDescent="0.3">
      <c r="A4" s="8">
        <v>3</v>
      </c>
      <c r="B4" s="9">
        <f t="shared" ref="B4:B17" si="1">B3+7</f>
        <v>46049</v>
      </c>
      <c r="C4" s="10" t="s">
        <v>16</v>
      </c>
      <c r="D4" s="10" t="s">
        <v>24</v>
      </c>
      <c r="E4" s="10" t="s">
        <v>25</v>
      </c>
      <c r="F4" s="15">
        <f t="shared" si="0"/>
        <v>46051</v>
      </c>
      <c r="G4" s="10" t="s">
        <v>16</v>
      </c>
      <c r="H4" s="10"/>
    </row>
    <row r="5" spans="1:9" ht="42" customHeight="1" x14ac:dyDescent="0.3">
      <c r="A5" s="8">
        <v>4</v>
      </c>
      <c r="B5" s="9">
        <f t="shared" si="1"/>
        <v>46056</v>
      </c>
      <c r="C5" s="10" t="s">
        <v>15</v>
      </c>
      <c r="D5" s="10" t="s">
        <v>25</v>
      </c>
      <c r="E5" s="10" t="s">
        <v>26</v>
      </c>
      <c r="F5" s="15">
        <f t="shared" si="0"/>
        <v>46058</v>
      </c>
      <c r="G5" s="10" t="s">
        <v>15</v>
      </c>
      <c r="H5" s="10"/>
    </row>
    <row r="6" spans="1:9" ht="42" customHeight="1" x14ac:dyDescent="0.3">
      <c r="A6" s="8">
        <v>5</v>
      </c>
      <c r="B6" s="9">
        <f t="shared" si="1"/>
        <v>46063</v>
      </c>
      <c r="C6" s="10" t="s">
        <v>36</v>
      </c>
      <c r="D6" s="10" t="s">
        <v>26</v>
      </c>
      <c r="E6" s="12" t="s">
        <v>27</v>
      </c>
      <c r="F6" s="15">
        <f t="shared" si="0"/>
        <v>46065</v>
      </c>
      <c r="G6" s="10" t="s">
        <v>36</v>
      </c>
      <c r="H6" s="10"/>
    </row>
    <row r="7" spans="1:9" ht="42" customHeight="1" x14ac:dyDescent="0.3">
      <c r="A7" s="8">
        <v>6</v>
      </c>
      <c r="B7" s="9">
        <f t="shared" si="1"/>
        <v>46070</v>
      </c>
      <c r="C7" s="8" t="s">
        <v>35</v>
      </c>
      <c r="F7" s="15">
        <f t="shared" si="0"/>
        <v>46072</v>
      </c>
      <c r="G7" s="10" t="s">
        <v>18</v>
      </c>
      <c r="H7" s="10" t="s">
        <v>27</v>
      </c>
      <c r="I7" s="10" t="s">
        <v>28</v>
      </c>
    </row>
    <row r="8" spans="1:9" ht="42" customHeight="1" x14ac:dyDescent="0.3">
      <c r="A8" s="8">
        <v>7</v>
      </c>
      <c r="B8" s="9">
        <f t="shared" si="1"/>
        <v>46077</v>
      </c>
      <c r="C8" s="10" t="s">
        <v>18</v>
      </c>
      <c r="D8" s="8"/>
      <c r="E8" s="12"/>
      <c r="F8" s="15">
        <f t="shared" si="0"/>
        <v>46079</v>
      </c>
      <c r="G8" s="10" t="s">
        <v>10</v>
      </c>
      <c r="H8" s="10" t="s">
        <v>28</v>
      </c>
      <c r="I8" s="10"/>
    </row>
    <row r="9" spans="1:9" ht="42" customHeight="1" x14ac:dyDescent="0.3">
      <c r="A9" s="8">
        <v>8</v>
      </c>
      <c r="B9" s="20">
        <v>46083</v>
      </c>
      <c r="C9" s="21" t="s">
        <v>38</v>
      </c>
      <c r="D9" s="8"/>
      <c r="E9" s="10"/>
      <c r="F9" s="15">
        <v>45720</v>
      </c>
      <c r="G9" s="17" t="s">
        <v>37</v>
      </c>
      <c r="H9" s="10"/>
    </row>
    <row r="10" spans="1:9" ht="42" customHeight="1" x14ac:dyDescent="0.3">
      <c r="A10" s="8"/>
      <c r="B10" s="9">
        <f>B8+14</f>
        <v>46091</v>
      </c>
      <c r="C10" s="8" t="s">
        <v>9</v>
      </c>
      <c r="D10" s="10"/>
      <c r="E10" s="10"/>
      <c r="F10" s="15">
        <f t="shared" si="0"/>
        <v>46093</v>
      </c>
      <c r="G10" s="8" t="s">
        <v>9</v>
      </c>
      <c r="H10" s="10"/>
    </row>
    <row r="11" spans="1:9" ht="42" customHeight="1" x14ac:dyDescent="0.3">
      <c r="A11" s="8">
        <v>9</v>
      </c>
      <c r="B11" s="9">
        <f t="shared" si="1"/>
        <v>46098</v>
      </c>
      <c r="C11" s="10" t="s">
        <v>3</v>
      </c>
      <c r="D11" s="16"/>
      <c r="E11" s="10" t="s">
        <v>34</v>
      </c>
      <c r="F11" s="15">
        <f t="shared" si="0"/>
        <v>46100</v>
      </c>
      <c r="G11" s="10" t="s">
        <v>3</v>
      </c>
    </row>
    <row r="12" spans="1:9" ht="42" customHeight="1" x14ac:dyDescent="0.3">
      <c r="A12" s="8">
        <v>10</v>
      </c>
      <c r="B12" s="9">
        <f t="shared" si="1"/>
        <v>46105</v>
      </c>
      <c r="C12" s="10" t="s">
        <v>4</v>
      </c>
      <c r="D12" s="10" t="s">
        <v>34</v>
      </c>
      <c r="E12" s="10" t="s">
        <v>29</v>
      </c>
      <c r="F12" s="15">
        <f t="shared" si="0"/>
        <v>46107</v>
      </c>
      <c r="G12" s="10" t="s">
        <v>4</v>
      </c>
      <c r="H12" s="10"/>
    </row>
    <row r="13" spans="1:9" ht="42" customHeight="1" x14ac:dyDescent="0.3">
      <c r="A13" s="8">
        <v>11</v>
      </c>
      <c r="B13" s="9">
        <f>B12+7</f>
        <v>46112</v>
      </c>
      <c r="C13" s="10" t="s">
        <v>11</v>
      </c>
      <c r="D13" s="10" t="s">
        <v>29</v>
      </c>
      <c r="E13" s="10" t="s">
        <v>30</v>
      </c>
      <c r="F13" s="15">
        <f t="shared" si="0"/>
        <v>46114</v>
      </c>
      <c r="G13" s="10" t="s">
        <v>11</v>
      </c>
      <c r="H13" s="10"/>
    </row>
    <row r="14" spans="1:9" ht="42" customHeight="1" x14ac:dyDescent="0.3">
      <c r="A14" s="8">
        <v>12</v>
      </c>
      <c r="B14" s="9">
        <f t="shared" si="1"/>
        <v>46119</v>
      </c>
      <c r="C14" s="10" t="s">
        <v>6</v>
      </c>
      <c r="D14" s="10" t="s">
        <v>30</v>
      </c>
      <c r="E14" s="13" t="s">
        <v>31</v>
      </c>
      <c r="F14" s="15">
        <f t="shared" si="0"/>
        <v>46121</v>
      </c>
      <c r="G14" s="10" t="s">
        <v>6</v>
      </c>
      <c r="H14" s="10"/>
    </row>
    <row r="15" spans="1:9" ht="42" customHeight="1" x14ac:dyDescent="0.3">
      <c r="A15" s="8">
        <v>13</v>
      </c>
      <c r="B15" s="9">
        <f t="shared" si="1"/>
        <v>46126</v>
      </c>
      <c r="C15" s="10" t="s">
        <v>5</v>
      </c>
      <c r="D15" s="10" t="s">
        <v>31</v>
      </c>
      <c r="E15" s="13" t="s">
        <v>32</v>
      </c>
      <c r="F15" s="15">
        <f t="shared" si="0"/>
        <v>46128</v>
      </c>
      <c r="G15" s="10" t="s">
        <v>7</v>
      </c>
      <c r="H15" s="10"/>
    </row>
    <row r="16" spans="1:9" ht="42" customHeight="1" x14ac:dyDescent="0.3">
      <c r="A16" s="8">
        <v>14</v>
      </c>
      <c r="B16" s="9">
        <f t="shared" si="1"/>
        <v>46133</v>
      </c>
      <c r="C16" s="10" t="s">
        <v>7</v>
      </c>
      <c r="D16" s="10" t="s">
        <v>32</v>
      </c>
      <c r="E16" s="13" t="s">
        <v>33</v>
      </c>
      <c r="F16" s="15">
        <f t="shared" si="0"/>
        <v>46135</v>
      </c>
      <c r="G16" s="10" t="s">
        <v>7</v>
      </c>
      <c r="H16" s="10"/>
    </row>
    <row r="17" spans="1:8" ht="42" customHeight="1" x14ac:dyDescent="0.3">
      <c r="A17" s="8">
        <v>15</v>
      </c>
      <c r="B17" s="9">
        <f t="shared" si="1"/>
        <v>46140</v>
      </c>
      <c r="C17" s="12" t="s">
        <v>19</v>
      </c>
      <c r="D17" s="12" t="s">
        <v>33</v>
      </c>
      <c r="E17" s="13"/>
      <c r="F17" s="18" t="s">
        <v>20</v>
      </c>
      <c r="G17" s="19"/>
      <c r="H17" s="19"/>
    </row>
    <row r="19" spans="1:8" x14ac:dyDescent="0.25">
      <c r="C19" s="2"/>
      <c r="D19" s="2"/>
      <c r="E19" s="2"/>
      <c r="F19" s="6"/>
    </row>
    <row r="21" spans="1:8" x14ac:dyDescent="0.25">
      <c r="C21" s="3"/>
      <c r="D21" s="3"/>
      <c r="E21" s="3"/>
      <c r="F21" s="3"/>
    </row>
    <row r="25" spans="1:8" ht="15.75" x14ac:dyDescent="0.25">
      <c r="C25" s="4"/>
      <c r="D25" s="4"/>
    </row>
  </sheetData>
  <mergeCells count="1">
    <mergeCell ref="F17:H17"/>
  </mergeCells>
  <printOptions gridLines="1"/>
  <pageMargins left="0.7" right="0.7" top="0.75" bottom="0.75" header="0.3" footer="0.3"/>
  <pageSetup scale="74" orientation="landscape" r:id="rId1"/>
  <headerFooter>
    <oddHeader>&amp;C&amp;"-,Bold"&amp;14
Intermediate Deterministic Models&amp;R
&amp;9 SPRING 2026</oddHeader>
    <oddFooter>&amp;C&amp;"-,Bold"&amp;13*HW is due at the beginning of class on the day it is due.&amp;"-,Regular"&amp;11
 Syllabus subject to change; updates will be posted on GitHub.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2026-01-23T16:40:11Z</dcterms:modified>
</cp:coreProperties>
</file>